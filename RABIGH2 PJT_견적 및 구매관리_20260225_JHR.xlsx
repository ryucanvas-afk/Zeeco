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haredData\Contract Project_ZA\Power Burner\KSO80128 - Rabigh 2 IPP - BHI\Projecting\Project Schedules\"/>
    </mc:Choice>
  </mc:AlternateContent>
  <xr:revisionPtr revIDLastSave="0" documentId="13_ncr:1_{110D6A44-F753-416C-94CA-7D183CAABD92}" xr6:coauthVersionLast="47" xr6:coauthVersionMax="47" xr10:uidLastSave="{00000000-0000-0000-0000-000000000000}"/>
  <bookViews>
    <workbookView xWindow="-120" yWindow="-120" windowWidth="29040" windowHeight="15720" xr2:uid="{796F969C-131D-4A30-A997-D72687E4D7B1}"/>
  </bookViews>
  <sheets>
    <sheet name="RABIGH2" sheetId="14" r:id="rId1"/>
  </sheets>
  <definedNames>
    <definedName name="_xlnm.Print_Area" localSheetId="0">RABIGH2!$B$1:$N$45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4" l="1"/>
  <c r="H7" i="14"/>
  <c r="G8" i="14" l="1"/>
  <c r="G7" i="14"/>
  <c r="F9" i="14"/>
  <c r="E9" i="14"/>
  <c r="F13" i="14"/>
  <c r="F16" i="14"/>
  <c r="F22" i="14" l="1"/>
  <c r="E16" i="14"/>
  <c r="G16" i="14" s="1"/>
  <c r="G34" i="14" l="1"/>
  <c r="D35" i="14"/>
  <c r="F35" i="14" s="1"/>
  <c r="G35" i="14" s="1"/>
  <c r="D34" i="14"/>
  <c r="H34" i="14" s="1"/>
  <c r="H35" i="14" l="1"/>
  <c r="G33" i="14"/>
  <c r="D36" i="14"/>
  <c r="H36" i="14" l="1"/>
  <c r="E37" i="14"/>
  <c r="C37" i="14"/>
  <c r="C24" i="14"/>
  <c r="G32" i="14"/>
  <c r="G28" i="14"/>
  <c r="G26" i="14" l="1"/>
  <c r="E15" i="14"/>
  <c r="G15" i="14" s="1"/>
  <c r="G9" i="14" l="1"/>
  <c r="D11" i="14"/>
  <c r="G13" i="14"/>
  <c r="G12" i="14"/>
  <c r="G4" i="14" l="1"/>
  <c r="D40" i="14"/>
  <c r="D41" i="14" s="1"/>
  <c r="D5" i="14"/>
  <c r="D6" i="14"/>
  <c r="D9" i="14"/>
  <c r="D10" i="14"/>
  <c r="D12" i="14"/>
  <c r="H12" i="14" s="1"/>
  <c r="D13" i="14"/>
  <c r="H13" i="14" s="1"/>
  <c r="D14" i="14"/>
  <c r="D15" i="14"/>
  <c r="H15" i="14" s="1"/>
  <c r="D26" i="14"/>
  <c r="D27" i="14"/>
  <c r="D16" i="14"/>
  <c r="D17" i="14"/>
  <c r="D28" i="14"/>
  <c r="H28" i="14" s="1"/>
  <c r="D29" i="14"/>
  <c r="D30" i="14"/>
  <c r="D31" i="14"/>
  <c r="D32" i="14"/>
  <c r="H32" i="14" s="1"/>
  <c r="D33" i="14"/>
  <c r="H33" i="14" s="1"/>
  <c r="D18" i="14"/>
  <c r="D19" i="14"/>
  <c r="E19" i="14" s="1"/>
  <c r="D20" i="14"/>
  <c r="D21" i="14"/>
  <c r="E21" i="14" s="1"/>
  <c r="D22" i="14"/>
  <c r="D23" i="14"/>
  <c r="D4" i="14"/>
  <c r="F30" i="14" l="1"/>
  <c r="G30" i="14" s="1"/>
  <c r="F27" i="14"/>
  <c r="G27" i="14" s="1"/>
  <c r="E23" i="14"/>
  <c r="F23" i="14"/>
  <c r="E20" i="14"/>
  <c r="F20" i="14"/>
  <c r="E18" i="14"/>
  <c r="H26" i="14"/>
  <c r="F18" i="14" s="1"/>
  <c r="D37" i="14"/>
  <c r="D24" i="14"/>
  <c r="H9" i="14"/>
  <c r="F29" i="14"/>
  <c r="F37" i="14" s="1"/>
  <c r="H16" i="14"/>
  <c r="E14" i="14"/>
  <c r="E24" i="14" s="1"/>
  <c r="E38" i="14" s="1"/>
  <c r="H4" i="14"/>
  <c r="F14" i="14"/>
  <c r="H14" i="14" s="1"/>
  <c r="H30" i="14" l="1"/>
  <c r="H27" i="14"/>
  <c r="H29" i="14"/>
  <c r="D38" i="14"/>
  <c r="G29" i="14"/>
  <c r="D45" i="14"/>
  <c r="G14" i="14"/>
  <c r="H23" i="14"/>
  <c r="H22" i="14"/>
  <c r="F21" i="14"/>
  <c r="H21" i="14" s="1"/>
  <c r="H20" i="14"/>
  <c r="F19" i="14"/>
  <c r="H19" i="14" s="1"/>
  <c r="H18" i="14"/>
  <c r="H37" i="14" l="1"/>
  <c r="H24" i="14"/>
  <c r="H38" i="14" s="1"/>
  <c r="F24" i="14"/>
  <c r="F38" i="14" s="1"/>
  <c r="D42" i="14"/>
  <c r="E42" i="14" s="1"/>
  <c r="N1" i="14"/>
  <c r="D44" i="14" l="1"/>
  <c r="D43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tc={E2FCEB46-5AE0-4D95-8044-D7E6BEAA351B}</author>
    <author>tc={3202CAD8-C420-448C-A520-BE3F1D2774D0}</author>
    <author>tc={FA8F9D14-3F25-42AC-8F9F-BE17962D345D}</author>
  </authors>
  <commentList>
    <comment ref="E9" authorId="0" shapeId="0" xr:uid="{E2FCEB46-5AE0-4D95-8044-D7E6BEAA351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Quote Rabigh2 HRSG - Duct Burner- ZCN Labor and Material Cost 2025-9-18 : 979,430</t>
      </text>
    </comment>
    <comment ref="E13" authorId="1" shapeId="0" xr:uid="{3202CAD8-C420-448C-A520-BE3F1D2774D0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2025 : 4560만원. 
2026년 1월부터 약 8% 금액 상승 예상
</t>
      </text>
    </comment>
    <comment ref="E29" authorId="2" shapeId="0" xr:uid="{FA8F9D14-3F25-42AC-8F9F-BE17962D345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Proposal no. QLK-2506-8309032_Rev.3</t>
      </text>
    </comment>
  </commentList>
</comments>
</file>

<file path=xl/sharedStrings.xml><?xml version="1.0" encoding="utf-8"?>
<sst xmlns="http://schemas.openxmlformats.org/spreadsheetml/2006/main" count="106" uniqueCount="85">
  <si>
    <t>필요 예산</t>
  </si>
  <si>
    <t>ITEMS</t>
  </si>
  <si>
    <t>금액 증감</t>
  </si>
  <si>
    <t xml:space="preserve">견적 업체 </t>
  </si>
  <si>
    <t>예상 납기 일정</t>
  </si>
  <si>
    <t>Local Control Panel</t>
  </si>
  <si>
    <t>Direct Cost</t>
  </si>
  <si>
    <t>Header Piping Fabrication</t>
  </si>
  <si>
    <t>Creating &amp; Shipping</t>
  </si>
  <si>
    <t>Cooling Air Fan (Ring blower)</t>
  </si>
  <si>
    <t xml:space="preserve">HEI Ignition module &amp; Cable &amp; Ignition Spark Plug </t>
  </si>
  <si>
    <t>Flame Scanner (ZPF-130)</t>
  </si>
  <si>
    <t>Vortex Flowmeter</t>
  </si>
  <si>
    <t>Shut-off valves</t>
  </si>
  <si>
    <t>Manual valves</t>
  </si>
  <si>
    <t>FCV</t>
  </si>
  <si>
    <t>BMS Panel</t>
  </si>
  <si>
    <t>Junction Box</t>
  </si>
  <si>
    <t>Wring &amp; Tubing Work and Material</t>
  </si>
  <si>
    <t>Engineering Hour - Projecting</t>
  </si>
  <si>
    <t>Engineering Hour - Drafting</t>
  </si>
  <si>
    <t>Engineering Hour - Control</t>
  </si>
  <si>
    <t>Engineering Hour - Inspection</t>
  </si>
  <si>
    <t>Remark</t>
  </si>
  <si>
    <t>Total Budget</t>
    <phoneticPr fontId="6" type="noConversion"/>
  </si>
  <si>
    <t>Updated Contract Amount</t>
    <phoneticPr fontId="6" type="noConversion"/>
  </si>
  <si>
    <t>Initial Contract Amount</t>
    <phoneticPr fontId="6" type="noConversion"/>
  </si>
  <si>
    <t>-</t>
    <phoneticPr fontId="6" type="noConversion"/>
  </si>
  <si>
    <t>Lighting</t>
  </si>
  <si>
    <t>Flexible Hose &amp; Expansion Joint</t>
  </si>
  <si>
    <t>Initial GM</t>
    <phoneticPr fontId="6" type="noConversion"/>
  </si>
  <si>
    <t>내외유체산업</t>
    <phoneticPr fontId="6" type="noConversion"/>
  </si>
  <si>
    <t>ZCN</t>
    <phoneticPr fontId="6" type="noConversion"/>
  </si>
  <si>
    <t>SO80128_RABIGH2</t>
    <phoneticPr fontId="6" type="noConversion"/>
  </si>
  <si>
    <t>견적가</t>
    <phoneticPr fontId="6" type="noConversion"/>
  </si>
  <si>
    <t>Fuel Gas Skid Fabrication (with Insulation material &amp; work)</t>
  </si>
  <si>
    <t>Cooling Air Fan Skid Fabrication</t>
  </si>
  <si>
    <t>Burner &amp; Baffle Fabrication with Igniter</t>
  </si>
  <si>
    <t>CFD analysis (ZHQ)</t>
  </si>
  <si>
    <t>PG &amp; PT &amp; TT (inc. 2-way manifold Valve)</t>
  </si>
  <si>
    <t>Contract Status</t>
    <phoneticPr fontId="6" type="noConversion"/>
  </si>
  <si>
    <t>기존 예산 (USD)</t>
    <phoneticPr fontId="6" type="noConversion"/>
  </si>
  <si>
    <t>기존 예산 (KRW)</t>
    <phoneticPr fontId="6" type="noConversion"/>
  </si>
  <si>
    <t xml:space="preserve">필요예산 </t>
    <phoneticPr fontId="6" type="noConversion"/>
  </si>
  <si>
    <t>[NOTE]</t>
    <phoneticPr fontId="6" type="noConversion"/>
  </si>
  <si>
    <t>실행율 (%)</t>
    <phoneticPr fontId="6" type="noConversion"/>
  </si>
  <si>
    <t>마도 or 신아</t>
    <phoneticPr fontId="6" type="noConversion"/>
  </si>
  <si>
    <t>: 확정 (FINAL PRICE)</t>
    <phoneticPr fontId="6" type="noConversion"/>
  </si>
  <si>
    <t>Quotation Price</t>
    <phoneticPr fontId="6" type="noConversion"/>
  </si>
  <si>
    <t>수정 예산</t>
    <phoneticPr fontId="6" type="noConversion"/>
  </si>
  <si>
    <t>: 견적 &amp; Nego 진행중</t>
    <phoneticPr fontId="6" type="noConversion"/>
  </si>
  <si>
    <t>: Assumed (주로 PP12 참고)</t>
    <phoneticPr fontId="6" type="noConversion"/>
  </si>
  <si>
    <t>Expected GM (실행율 남는 비용 GM에 미반영시)</t>
    <phoneticPr fontId="6" type="noConversion"/>
  </si>
  <si>
    <t>Expected GM (실행율 남는 비용 GM에 반영 시)</t>
    <phoneticPr fontId="6" type="noConversion"/>
  </si>
  <si>
    <t>Schneider (슈나이더)</t>
    <phoneticPr fontId="6" type="noConversion"/>
  </si>
  <si>
    <t>비스타 콘트롤</t>
    <phoneticPr fontId="6" type="noConversion"/>
  </si>
  <si>
    <t xml:space="preserve">RFQ Issue date </t>
    <phoneticPr fontId="6" type="noConversion"/>
  </si>
  <si>
    <t>요구 입고 일정 (to Shop)</t>
    <phoneticPr fontId="6" type="noConversion"/>
  </si>
  <si>
    <t>By PE 확인 사항</t>
    <phoneticPr fontId="6" type="noConversion"/>
  </si>
  <si>
    <t>- ISSUE 여부 : YES / NO
- ISSE 완료일 / 예정일
 : 2026-XX-XX</t>
    <phoneticPr fontId="6" type="noConversion"/>
  </si>
  <si>
    <t>PO Issue date</t>
    <phoneticPr fontId="6" type="noConversion"/>
  </si>
  <si>
    <t>Unit #1&amp;2 - 2026.08.31  Unit #3&amp;4 - 2026.10.31  Unit #5&amp;6 - 2026.12.31</t>
    <phoneticPr fontId="6" type="noConversion"/>
  </si>
  <si>
    <t>Contingency - PE</t>
    <phoneticPr fontId="6" type="noConversion"/>
  </si>
  <si>
    <t>Contingency - I&amp;C</t>
    <phoneticPr fontId="6" type="noConversion"/>
  </si>
  <si>
    <t>PE PART</t>
    <phoneticPr fontId="6" type="noConversion"/>
  </si>
  <si>
    <t>I&amp;C PART</t>
    <phoneticPr fontId="6" type="noConversion"/>
  </si>
  <si>
    <t>SUB-TOTAL</t>
    <phoneticPr fontId="6" type="noConversion"/>
  </si>
  <si>
    <t>TOTAL</t>
    <phoneticPr fontId="6" type="noConversion"/>
  </si>
  <si>
    <t>ZHQ</t>
    <phoneticPr fontId="6" type="noConversion"/>
  </si>
  <si>
    <t>YULIM</t>
    <phoneticPr fontId="6" type="noConversion"/>
  </si>
  <si>
    <t>LAMTEC</t>
    <phoneticPr fontId="6" type="noConversion"/>
  </si>
  <si>
    <t>XX month after PO
(PO 발행 후에는 명확한 날짜 명기할 것)</t>
    <phoneticPr fontId="6" type="noConversion"/>
  </si>
  <si>
    <t>Cable</t>
  </si>
  <si>
    <t>Electric fitting materials</t>
  </si>
  <si>
    <t>인스코 or 루에거</t>
  </si>
  <si>
    <t>인스코</t>
  </si>
  <si>
    <t>태성엔지니어링</t>
  </si>
  <si>
    <t>화신, 와롬</t>
  </si>
  <si>
    <t>현대계전</t>
  </si>
  <si>
    <t>SH컴퍼니</t>
  </si>
  <si>
    <t>LAPP or TBD</t>
  </si>
  <si>
    <t>케이인스텍</t>
  </si>
  <si>
    <t xml:space="preserve">Insulation Installation work &amp; material for skid </t>
    <phoneticPr fontId="6" type="noConversion"/>
  </si>
  <si>
    <t>Loose Insulation Material for Header Piping</t>
    <phoneticPr fontId="6" type="noConversion"/>
  </si>
  <si>
    <t>세일 엔지니어링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</si>
</sst>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₩&quot;#,##0;[Red]\-&quot;₩&quot;#,##0"/>
    <numFmt numFmtId="41" formatCode="_-* #,##0_-;\-* #,##0_-;_-* &quot;-&quot;_-;_-@_-"/>
    <numFmt numFmtId="176" formatCode="yyyy\-mm\-dd;@"/>
    <numFmt numFmtId="177" formatCode="0.0%"/>
    <numFmt numFmtId="178" formatCode="\$#,##0.00;[Red]\-\$#,##0.00"/>
    <numFmt numFmtId="179" formatCode="[$$-409]#,##0"/>
    <numFmt numFmtId="180" formatCode="\$#,##0;[Red]\-\$#,##0"/>
  </numFmts>
  <fonts count="1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7030A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5"/>
      <name val="맑은 고딕"/>
      <family val="2"/>
      <charset val="129"/>
      <scheme val="minor"/>
    </font>
    <font>
      <sz val="11"/>
      <color theme="5"/>
      <name val="맑은 고딕"/>
      <family val="3"/>
      <charset val="129"/>
      <scheme val="minor"/>
    </font>
    <font>
      <sz val="11"/>
      <color rgb="FF7030A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11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0" fillId="0" borderId="0" xfId="0" applyNumberForma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41" fontId="0" fillId="0" borderId="0" xfId="1" applyFont="1"/>
    <xf numFmtId="0" fontId="7" fillId="0" borderId="0" xfId="0" applyFont="1"/>
    <xf numFmtId="6" fontId="0" fillId="0" borderId="0" xfId="0" applyNumberFormat="1"/>
    <xf numFmtId="178" fontId="0" fillId="0" borderId="0" xfId="0" applyNumberFormat="1"/>
    <xf numFmtId="0" fontId="10" fillId="0" borderId="0" xfId="0" applyFont="1"/>
    <xf numFmtId="0" fontId="0" fillId="0" borderId="0" xfId="0" quotePrefix="1"/>
    <xf numFmtId="177" fontId="7" fillId="4" borderId="14" xfId="2" applyNumberFormat="1" applyFont="1" applyFill="1" applyBorder="1" applyAlignment="1"/>
    <xf numFmtId="0" fontId="9" fillId="4" borderId="9" xfId="0" applyFont="1" applyFill="1" applyBorder="1" applyAlignment="1">
      <alignment vertical="center"/>
    </xf>
    <xf numFmtId="6" fontId="9" fillId="4" borderId="10" xfId="0" applyNumberFormat="1" applyFont="1" applyFill="1" applyBorder="1" applyAlignment="1">
      <alignment vertical="center"/>
    </xf>
    <xf numFmtId="0" fontId="9" fillId="4" borderId="11" xfId="0" applyFont="1" applyFill="1" applyBorder="1" applyAlignment="1">
      <alignment vertical="center"/>
    </xf>
    <xf numFmtId="6" fontId="9" fillId="4" borderId="12" xfId="0" applyNumberFormat="1" applyFont="1" applyFill="1" applyBorder="1" applyAlignment="1">
      <alignment vertical="center"/>
    </xf>
    <xf numFmtId="6" fontId="9" fillId="4" borderId="12" xfId="0" applyNumberFormat="1" applyFont="1" applyFill="1" applyBorder="1"/>
    <xf numFmtId="0" fontId="9" fillId="4" borderId="11" xfId="0" applyFont="1" applyFill="1" applyBorder="1"/>
    <xf numFmtId="177" fontId="7" fillId="4" borderId="12" xfId="2" applyNumberFormat="1" applyFont="1" applyFill="1" applyBorder="1" applyAlignment="1"/>
    <xf numFmtId="0" fontId="9" fillId="4" borderId="13" xfId="0" applyFont="1" applyFill="1" applyBorder="1"/>
    <xf numFmtId="9" fontId="0" fillId="0" borderId="0" xfId="0" applyNumberFormat="1"/>
    <xf numFmtId="177" fontId="0" fillId="0" borderId="0" xfId="0" applyNumberFormat="1" applyAlignment="1">
      <alignment horizontal="right"/>
    </xf>
    <xf numFmtId="6" fontId="13" fillId="0" borderId="4" xfId="0" applyNumberFormat="1" applyFont="1" applyBorder="1" applyAlignment="1">
      <alignment vertical="center"/>
    </xf>
    <xf numFmtId="176" fontId="4" fillId="0" borderId="6" xfId="1" applyNumberFormat="1" applyFont="1" applyFill="1" applyBorder="1" applyAlignment="1">
      <alignment vertical="center"/>
    </xf>
    <xf numFmtId="176" fontId="5" fillId="0" borderId="4" xfId="0" applyNumberFormat="1" applyFont="1" applyBorder="1" applyAlignment="1">
      <alignment horizontal="center" vertical="center"/>
    </xf>
    <xf numFmtId="6" fontId="13" fillId="0" borderId="6" xfId="0" applyNumberFormat="1" applyFont="1" applyBorder="1" applyAlignment="1">
      <alignment vertical="center"/>
    </xf>
    <xf numFmtId="176" fontId="4" fillId="0" borderId="4" xfId="1" applyNumberFormat="1" applyFont="1" applyFill="1" applyBorder="1" applyAlignment="1">
      <alignment horizontal="center" vertical="center"/>
    </xf>
    <xf numFmtId="176" fontId="4" fillId="0" borderId="4" xfId="1" applyNumberFormat="1" applyFont="1" applyFill="1" applyBorder="1" applyAlignment="1">
      <alignment horizontal="center" vertical="center" wrapText="1"/>
    </xf>
    <xf numFmtId="176" fontId="4" fillId="0" borderId="6" xfId="1" quotePrefix="1" applyNumberFormat="1" applyFont="1" applyFill="1" applyBorder="1" applyAlignment="1">
      <alignment vertical="center"/>
    </xf>
    <xf numFmtId="176" fontId="5" fillId="0" borderId="4" xfId="0" applyNumberFormat="1" applyFont="1" applyBorder="1" applyAlignment="1">
      <alignment vertical="center"/>
    </xf>
    <xf numFmtId="176" fontId="4" fillId="0" borderId="6" xfId="1" applyNumberFormat="1" applyFont="1" applyFill="1" applyBorder="1" applyAlignment="1">
      <alignment vertical="center" wrapText="1"/>
    </xf>
    <xf numFmtId="176" fontId="10" fillId="0" borderId="4" xfId="1" applyNumberFormat="1" applyFont="1" applyFill="1" applyBorder="1" applyAlignment="1">
      <alignment horizontal="center" vertical="center" wrapText="1"/>
    </xf>
    <xf numFmtId="176" fontId="4" fillId="0" borderId="6" xfId="1" applyNumberFormat="1" applyFont="1" applyFill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3" fillId="2" borderId="16" xfId="0" applyFont="1" applyFill="1" applyBorder="1" applyAlignment="1">
      <alignment horizontal="center"/>
    </xf>
    <xf numFmtId="0" fontId="9" fillId="4" borderId="19" xfId="0" applyFont="1" applyFill="1" applyBorder="1" applyAlignment="1">
      <alignment vertical="center"/>
    </xf>
    <xf numFmtId="0" fontId="9" fillId="4" borderId="0" xfId="0" applyFont="1" applyFill="1" applyAlignment="1">
      <alignment vertical="center"/>
    </xf>
    <xf numFmtId="0" fontId="9" fillId="4" borderId="0" xfId="0" applyFont="1" applyFill="1"/>
    <xf numFmtId="0" fontId="9" fillId="4" borderId="20" xfId="0" applyFont="1" applyFill="1" applyBorder="1"/>
    <xf numFmtId="179" fontId="14" fillId="0" borderId="17" xfId="0" applyNumberFormat="1" applyFont="1" applyBorder="1" applyAlignment="1">
      <alignment horizontal="right" vertical="center"/>
    </xf>
    <xf numFmtId="6" fontId="13" fillId="0" borderId="6" xfId="0" quotePrefix="1" applyNumberFormat="1" applyFont="1" applyBorder="1" applyAlignment="1">
      <alignment horizontal="center" vertical="center"/>
    </xf>
    <xf numFmtId="0" fontId="15" fillId="0" borderId="0" xfId="0" applyFont="1"/>
    <xf numFmtId="0" fontId="4" fillId="0" borderId="0" xfId="0" applyFont="1"/>
    <xf numFmtId="41" fontId="13" fillId="0" borderId="6" xfId="1" applyFont="1" applyFill="1" applyBorder="1" applyAlignment="1">
      <alignment horizontal="center" vertical="center"/>
    </xf>
    <xf numFmtId="41" fontId="13" fillId="0" borderId="4" xfId="1" applyFont="1" applyFill="1" applyBorder="1" applyAlignment="1">
      <alignment horizontal="center" vertical="center"/>
    </xf>
    <xf numFmtId="41" fontId="13" fillId="0" borderId="6" xfId="1" applyFont="1" applyFill="1" applyBorder="1" applyAlignment="1">
      <alignment vertical="center"/>
    </xf>
    <xf numFmtId="6" fontId="7" fillId="5" borderId="6" xfId="0" quotePrefix="1" applyNumberFormat="1" applyFont="1" applyFill="1" applyBorder="1" applyAlignment="1">
      <alignment horizontal="right" vertical="center"/>
    </xf>
    <xf numFmtId="6" fontId="13" fillId="0" borderId="6" xfId="0" quotePrefix="1" applyNumberFormat="1" applyFont="1" applyBorder="1" applyAlignment="1">
      <alignment horizontal="right" vertical="center"/>
    </xf>
    <xf numFmtId="177" fontId="13" fillId="0" borderId="6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/>
    </xf>
    <xf numFmtId="6" fontId="12" fillId="0" borderId="4" xfId="0" applyNumberFormat="1" applyFont="1" applyBorder="1" applyAlignment="1">
      <alignment vertical="center"/>
    </xf>
    <xf numFmtId="6" fontId="16" fillId="0" borderId="6" xfId="0" applyNumberFormat="1" applyFont="1" applyBorder="1" applyAlignment="1">
      <alignment vertical="center"/>
    </xf>
    <xf numFmtId="179" fontId="14" fillId="0" borderId="18" xfId="0" applyNumberFormat="1" applyFont="1" applyBorder="1" applyAlignment="1">
      <alignment horizontal="right" vertical="center"/>
    </xf>
    <xf numFmtId="6" fontId="8" fillId="0" borderId="4" xfId="0" applyNumberFormat="1" applyFont="1" applyBorder="1" applyAlignment="1">
      <alignment vertical="center"/>
    </xf>
    <xf numFmtId="6" fontId="8" fillId="0" borderId="6" xfId="0" applyNumberFormat="1" applyFont="1" applyBorder="1" applyAlignment="1">
      <alignment vertical="center"/>
    </xf>
    <xf numFmtId="0" fontId="3" fillId="6" borderId="1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9" fillId="3" borderId="1" xfId="0" applyFont="1" applyFill="1" applyBorder="1"/>
    <xf numFmtId="0" fontId="9" fillId="3" borderId="16" xfId="0" applyFont="1" applyFill="1" applyBorder="1"/>
    <xf numFmtId="6" fontId="9" fillId="3" borderId="2" xfId="0" applyNumberFormat="1" applyFont="1" applyFill="1" applyBorder="1"/>
    <xf numFmtId="41" fontId="9" fillId="3" borderId="2" xfId="1" applyFont="1" applyFill="1" applyBorder="1" applyAlignment="1">
      <alignment horizontal="left"/>
    </xf>
    <xf numFmtId="0" fontId="9" fillId="3" borderId="2" xfId="0" applyFont="1" applyFill="1" applyBorder="1"/>
    <xf numFmtId="0" fontId="14" fillId="7" borderId="21" xfId="0" applyFont="1" applyFill="1" applyBorder="1" applyAlignment="1">
      <alignment vertical="center"/>
    </xf>
    <xf numFmtId="41" fontId="13" fillId="7" borderId="8" xfId="1" applyFont="1" applyFill="1" applyBorder="1" applyAlignment="1">
      <alignment horizontal="center" vertical="center"/>
    </xf>
    <xf numFmtId="176" fontId="4" fillId="7" borderId="8" xfId="1" applyNumberFormat="1" applyFont="1" applyFill="1" applyBorder="1" applyAlignment="1">
      <alignment horizontal="center" vertical="center"/>
    </xf>
    <xf numFmtId="176" fontId="4" fillId="7" borderId="8" xfId="1" applyNumberFormat="1" applyFont="1" applyFill="1" applyBorder="1" applyAlignment="1">
      <alignment horizontal="center" vertical="center" wrapText="1"/>
    </xf>
    <xf numFmtId="176" fontId="5" fillId="7" borderId="8" xfId="0" applyNumberFormat="1" applyFont="1" applyFill="1" applyBorder="1" applyAlignment="1">
      <alignment horizontal="center" vertical="center"/>
    </xf>
    <xf numFmtId="179" fontId="14" fillId="7" borderId="17" xfId="0" applyNumberFormat="1" applyFont="1" applyFill="1" applyBorder="1" applyAlignment="1">
      <alignment horizontal="right" vertical="center"/>
    </xf>
    <xf numFmtId="6" fontId="13" fillId="7" borderId="4" xfId="0" applyNumberFormat="1" applyFont="1" applyFill="1" applyBorder="1" applyAlignment="1">
      <alignment vertical="center"/>
    </xf>
    <xf numFmtId="6" fontId="13" fillId="7" borderId="6" xfId="0" quotePrefix="1" applyNumberFormat="1" applyFont="1" applyFill="1" applyBorder="1" applyAlignment="1">
      <alignment horizontal="right" vertical="center"/>
    </xf>
    <xf numFmtId="6" fontId="13" fillId="7" borderId="6" xfId="0" applyNumberFormat="1" applyFont="1" applyFill="1" applyBorder="1" applyAlignment="1">
      <alignment vertical="center"/>
    </xf>
    <xf numFmtId="6" fontId="13" fillId="7" borderId="6" xfId="0" quotePrefix="1" applyNumberFormat="1" applyFont="1" applyFill="1" applyBorder="1" applyAlignment="1">
      <alignment horizontal="center" vertical="center"/>
    </xf>
    <xf numFmtId="6" fontId="7" fillId="5" borderId="4" xfId="0" quotePrefix="1" applyNumberFormat="1" applyFont="1" applyFill="1" applyBorder="1" applyAlignment="1">
      <alignment horizontal="right" vertical="center"/>
    </xf>
    <xf numFmtId="9" fontId="13" fillId="0" borderId="4" xfId="0" applyNumberFormat="1" applyFont="1" applyBorder="1" applyAlignment="1">
      <alignment vertical="center"/>
    </xf>
    <xf numFmtId="41" fontId="13" fillId="0" borderId="4" xfId="1" quotePrefix="1" applyFont="1" applyFill="1" applyBorder="1" applyAlignment="1">
      <alignment horizontal="center" vertical="center"/>
    </xf>
    <xf numFmtId="180" fontId="9" fillId="0" borderId="0" xfId="0" applyNumberFormat="1" applyFont="1" applyAlignment="1">
      <alignment vertical="center"/>
    </xf>
    <xf numFmtId="180" fontId="9" fillId="0" borderId="0" xfId="0" applyNumberFormat="1" applyFont="1"/>
    <xf numFmtId="177" fontId="7" fillId="0" borderId="0" xfId="2" applyNumberFormat="1" applyFont="1" applyFill="1" applyBorder="1" applyAlignment="1"/>
    <xf numFmtId="6" fontId="16" fillId="0" borderId="4" xfId="0" applyNumberFormat="1" applyFont="1" applyBorder="1" applyAlignment="1">
      <alignment vertical="center"/>
    </xf>
    <xf numFmtId="176" fontId="5" fillId="0" borderId="6" xfId="0" applyNumberFormat="1" applyFont="1" applyBorder="1" applyAlignment="1">
      <alignment horizontal="center" vertical="center"/>
    </xf>
    <xf numFmtId="6" fontId="16" fillId="0" borderId="6" xfId="0" applyNumberFormat="1" applyFont="1" applyBorder="1" applyAlignment="1">
      <alignment horizontal="right" vertical="center"/>
    </xf>
    <xf numFmtId="6" fontId="13" fillId="0" borderId="6" xfId="0" applyNumberFormat="1" applyFont="1" applyBorder="1" applyAlignment="1">
      <alignment horizontal="right" vertical="center"/>
    </xf>
    <xf numFmtId="6" fontId="12" fillId="0" borderId="6" xfId="0" applyNumberFormat="1" applyFont="1" applyBorder="1" applyAlignment="1">
      <alignment horizontal="right" vertical="center"/>
    </xf>
    <xf numFmtId="0" fontId="14" fillId="6" borderId="7" xfId="0" applyFont="1" applyFill="1" applyBorder="1" applyAlignment="1">
      <alignment vertical="center"/>
    </xf>
    <xf numFmtId="0" fontId="14" fillId="6" borderId="3" xfId="0" applyFont="1" applyFill="1" applyBorder="1" applyAlignment="1">
      <alignment vertical="center"/>
    </xf>
    <xf numFmtId="0" fontId="14" fillId="6" borderId="7" xfId="0" applyFont="1" applyFill="1" applyBorder="1" applyAlignment="1">
      <alignment horizontal="left" vertical="center"/>
    </xf>
    <xf numFmtId="0" fontId="14" fillId="8" borderId="3" xfId="0" applyFont="1" applyFill="1" applyBorder="1" applyAlignment="1">
      <alignment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9" fontId="0" fillId="0" borderId="15" xfId="0" applyNumberFormat="1" applyBorder="1" applyAlignment="1">
      <alignment horizontal="right" vertical="center"/>
    </xf>
    <xf numFmtId="41" fontId="13" fillId="0" borderId="8" xfId="1" applyFont="1" applyFill="1" applyBorder="1" applyAlignment="1">
      <alignment horizontal="center" vertical="center"/>
    </xf>
    <xf numFmtId="41" fontId="13" fillId="0" borderId="6" xfId="1" applyFont="1" applyFill="1" applyBorder="1" applyAlignment="1">
      <alignment horizontal="center" vertical="center"/>
    </xf>
    <xf numFmtId="6" fontId="13" fillId="0" borderId="8" xfId="0" applyNumberFormat="1" applyFont="1" applyBorder="1" applyAlignment="1">
      <alignment horizontal="right" vertical="center"/>
    </xf>
    <xf numFmtId="6" fontId="13" fillId="0" borderId="6" xfId="0" applyNumberFormat="1" applyFont="1" applyBorder="1" applyAlignment="1">
      <alignment horizontal="right" vertical="center"/>
    </xf>
    <xf numFmtId="6" fontId="12" fillId="0" borderId="8" xfId="0" applyNumberFormat="1" applyFont="1" applyBorder="1" applyAlignment="1">
      <alignment horizontal="right" vertical="center"/>
    </xf>
    <xf numFmtId="6" fontId="12" fillId="0" borderId="6" xfId="0" applyNumberFormat="1" applyFont="1" applyBorder="1" applyAlignment="1">
      <alignment horizontal="right" vertical="center"/>
    </xf>
    <xf numFmtId="177" fontId="13" fillId="0" borderId="8" xfId="0" applyNumberFormat="1" applyFont="1" applyBorder="1" applyAlignment="1">
      <alignment horizontal="center" vertical="center"/>
    </xf>
    <xf numFmtId="177" fontId="13" fillId="0" borderId="6" xfId="0" applyNumberFormat="1" applyFont="1" applyBorder="1" applyAlignment="1">
      <alignment horizontal="center" vertical="center"/>
    </xf>
    <xf numFmtId="6" fontId="13" fillId="0" borderId="5" xfId="0" applyNumberFormat="1" applyFont="1" applyBorder="1" applyAlignment="1">
      <alignment horizontal="right" vertical="center"/>
    </xf>
    <xf numFmtId="6" fontId="16" fillId="0" borderId="5" xfId="0" applyNumberFormat="1" applyFont="1" applyBorder="1" applyAlignment="1">
      <alignment horizontal="right" vertical="center"/>
    </xf>
    <xf numFmtId="6" fontId="16" fillId="0" borderId="8" xfId="0" applyNumberFormat="1" applyFont="1" applyBorder="1" applyAlignment="1">
      <alignment horizontal="right" vertical="center"/>
    </xf>
    <xf numFmtId="6" fontId="16" fillId="0" borderId="6" xfId="0" applyNumberFormat="1" applyFont="1" applyBorder="1" applyAlignment="1">
      <alignment horizontal="right" vertical="center"/>
    </xf>
    <xf numFmtId="6" fontId="12" fillId="0" borderId="5" xfId="0" applyNumberFormat="1" applyFont="1" applyBorder="1" applyAlignment="1">
      <alignment horizontal="right" vertical="center"/>
    </xf>
    <xf numFmtId="177" fontId="13" fillId="0" borderId="5" xfId="0" applyNumberFormat="1" applyFont="1" applyBorder="1" applyAlignment="1">
      <alignment horizontal="center" vertical="center"/>
    </xf>
    <xf numFmtId="176" fontId="17" fillId="0" borderId="8" xfId="1" quotePrefix="1" applyNumberFormat="1" applyFont="1" applyFill="1" applyBorder="1" applyAlignment="1">
      <alignment horizontal="left" vertical="center" wrapText="1"/>
    </xf>
    <xf numFmtId="176" fontId="17" fillId="0" borderId="6" xfId="1" quotePrefix="1" applyNumberFormat="1" applyFont="1" applyFill="1" applyBorder="1" applyAlignment="1">
      <alignment horizontal="left" vertical="center" wrapText="1"/>
    </xf>
    <xf numFmtId="6" fontId="8" fillId="0" borderId="5" xfId="0" applyNumberFormat="1" applyFont="1" applyBorder="1" applyAlignment="1">
      <alignment horizontal="right" vertical="center"/>
    </xf>
    <xf numFmtId="6" fontId="8" fillId="0" borderId="6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center" vertical="center"/>
    </xf>
    <xf numFmtId="41" fontId="13" fillId="0" borderId="5" xfId="1" applyFont="1" applyFill="1" applyBorder="1" applyAlignment="1">
      <alignment horizontal="center" vertical="center"/>
    </xf>
    <xf numFmtId="176" fontId="4" fillId="0" borderId="5" xfId="1" applyNumberFormat="1" applyFont="1" applyFill="1" applyBorder="1" applyAlignment="1">
      <alignment horizontal="center" vertical="center"/>
    </xf>
    <xf numFmtId="176" fontId="4" fillId="0" borderId="6" xfId="1" applyNumberFormat="1" applyFont="1" applyFill="1" applyBorder="1" applyAlignment="1">
      <alignment horizontal="center" vertical="center"/>
    </xf>
    <xf numFmtId="176" fontId="17" fillId="0" borderId="8" xfId="0" applyNumberFormat="1" applyFont="1" applyBorder="1" applyAlignment="1">
      <alignment horizontal="center" vertical="center" wrapText="1"/>
    </xf>
    <xf numFmtId="176" fontId="17" fillId="0" borderId="8" xfId="0" applyNumberFormat="1" applyFont="1" applyBorder="1" applyAlignment="1">
      <alignment horizontal="center" vertical="center"/>
    </xf>
    <xf numFmtId="176" fontId="17" fillId="0" borderId="6" xfId="0" applyNumberFormat="1" applyFont="1" applyBorder="1" applyAlignment="1">
      <alignment horizontal="center" vertical="center"/>
    </xf>
    <xf numFmtId="176" fontId="4" fillId="0" borderId="8" xfId="1" applyNumberFormat="1" applyFont="1" applyFill="1" applyBorder="1" applyAlignment="1">
      <alignment horizontal="center" vertical="center"/>
    </xf>
  </cellXfs>
  <cellStyles count="5">
    <cellStyle name="백분율" xfId="2" builtinId="5"/>
    <cellStyle name="쉼표 [0]" xfId="1" builtinId="6"/>
    <cellStyle name="쉼표 [0] 2" xfId="3" xr:uid="{02564707-7B72-4578-8F05-881D0BDE851E}"/>
    <cellStyle name="표준" xfId="0" builtinId="0"/>
    <cellStyle name="표준 2" xfId="4" xr:uid="{DA4444D1-630A-4701-B585-14DE45977C7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-Jin Yoo" id="{5D8AA840-34E7-4F77-87F9-4E5F6F33FA79}" userId="S::SJ_Yoo@zeeco.com::c7d35d04-69c1-4105-8dd1-6918805d5504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11-17T07:58:28.16" personId="{5D8AA840-34E7-4F77-87F9-4E5F6F33FA79}" id="{E2FCEB46-5AE0-4D95-8044-D7E6BEAA351B}">
    <text>Quote Rabigh2 HRSG - Duct Burner- ZCN Labor and Material Cost 2025-9-18 : 979,430</text>
  </threadedComment>
  <threadedComment ref="E13" dT="2025-11-17T07:20:11.05" personId="{5D8AA840-34E7-4F77-87F9-4E5F6F33FA79}" id="{3202CAD8-C420-448C-A520-BE3F1D2774D0}">
    <text xml:space="preserve">2025 : 4560만원. 
2026년 1월부터 약 8% 금액 상승 예상
</text>
  </threadedComment>
  <threadedComment ref="E29" dT="2025-11-10T09:07:11.21" personId="{5D8AA840-34E7-4F77-87F9-4E5F6F33FA79}" id="{FA8F9D14-3F25-42AC-8F9F-BE17962D345D}">
    <text>Proposal no. QLK-2506-8309032_Rev.3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A7CB-5934-473D-94F9-D87F042D6372}">
  <sheetPr>
    <tabColor rgb="FF00B0F0"/>
    <pageSetUpPr fitToPage="1"/>
  </sheetPr>
  <dimension ref="A1:O50"/>
  <sheetViews>
    <sheetView tabSelected="1" view="pageBreakPreview" zoomScaleNormal="100" zoomScaleSheetLayoutView="100" workbookViewId="0">
      <selection activeCell="B34" sqref="B34:H34"/>
    </sheetView>
  </sheetViews>
  <sheetFormatPr defaultRowHeight="16.5"/>
  <cols>
    <col min="2" max="2" width="48.625" customWidth="1"/>
    <col min="3" max="3" width="18.875" customWidth="1"/>
    <col min="4" max="7" width="17.375" customWidth="1"/>
    <col min="8" max="8" width="17.875" customWidth="1"/>
    <col min="9" max="12" width="20.5" customWidth="1"/>
    <col min="13" max="13" width="24.375" customWidth="1"/>
    <col min="14" max="14" width="28.25" customWidth="1"/>
    <col min="15" max="15" width="14.125" bestFit="1" customWidth="1"/>
    <col min="16" max="16" width="10.125" bestFit="1" customWidth="1"/>
  </cols>
  <sheetData>
    <row r="1" spans="1:15" ht="20.100000000000001" customHeight="1">
      <c r="B1" s="1" t="s">
        <v>33</v>
      </c>
      <c r="C1" s="2" t="s">
        <v>41</v>
      </c>
      <c r="D1" s="2" t="s">
        <v>42</v>
      </c>
      <c r="E1" s="2" t="s">
        <v>34</v>
      </c>
      <c r="F1" s="2" t="s">
        <v>0</v>
      </c>
      <c r="G1" s="2"/>
      <c r="I1" s="9"/>
      <c r="J1" s="9"/>
      <c r="K1" s="3"/>
      <c r="L1" s="3"/>
      <c r="M1" s="50" t="s">
        <v>58</v>
      </c>
      <c r="N1" s="3">
        <f ca="1">TODAY()</f>
        <v>46084</v>
      </c>
    </row>
    <row r="2" spans="1:15" ht="20.100000000000001" customHeight="1">
      <c r="A2" s="7">
        <v>1436.6</v>
      </c>
      <c r="B2" s="4" t="s">
        <v>1</v>
      </c>
      <c r="C2" s="35" t="s">
        <v>40</v>
      </c>
      <c r="D2" s="5" t="s">
        <v>40</v>
      </c>
      <c r="E2" s="5" t="s">
        <v>48</v>
      </c>
      <c r="F2" s="5" t="s">
        <v>49</v>
      </c>
      <c r="G2" s="5" t="s">
        <v>45</v>
      </c>
      <c r="H2" s="5" t="s">
        <v>2</v>
      </c>
      <c r="I2" s="5" t="s">
        <v>3</v>
      </c>
      <c r="J2" s="5" t="s">
        <v>56</v>
      </c>
      <c r="K2" s="5" t="s">
        <v>60</v>
      </c>
      <c r="L2" s="5" t="s">
        <v>4</v>
      </c>
      <c r="M2" s="5" t="s">
        <v>57</v>
      </c>
      <c r="N2" s="5" t="s">
        <v>23</v>
      </c>
    </row>
    <row r="3" spans="1:15" ht="20.100000000000001" customHeight="1">
      <c r="A3" s="7"/>
      <c r="B3" s="56" t="s">
        <v>64</v>
      </c>
      <c r="C3" s="57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spans="1:15" ht="20.100000000000001" customHeight="1">
      <c r="A4" s="21"/>
      <c r="B4" s="85" t="s">
        <v>35</v>
      </c>
      <c r="C4" s="53">
        <v>252000</v>
      </c>
      <c r="D4" s="26">
        <f>C4*$A$2</f>
        <v>362023200</v>
      </c>
      <c r="E4" s="96">
        <v>600000000</v>
      </c>
      <c r="F4" s="96">
        <v>640000000</v>
      </c>
      <c r="G4" s="98">
        <f>E4/F4</f>
        <v>0.9375</v>
      </c>
      <c r="H4" s="94">
        <f>SUM(D4:D6)-F4</f>
        <v>32328800</v>
      </c>
      <c r="I4" s="92" t="s">
        <v>46</v>
      </c>
      <c r="J4" s="106" t="s">
        <v>59</v>
      </c>
      <c r="K4" s="106" t="s">
        <v>59</v>
      </c>
      <c r="L4" s="114" t="s">
        <v>71</v>
      </c>
      <c r="M4" s="114" t="s">
        <v>61</v>
      </c>
      <c r="N4" s="89"/>
    </row>
    <row r="5" spans="1:15" ht="20.100000000000001" customHeight="1">
      <c r="A5" s="21"/>
      <c r="B5" s="86" t="s">
        <v>7</v>
      </c>
      <c r="C5" s="40">
        <v>174000</v>
      </c>
      <c r="D5" s="23">
        <f t="shared" ref="D5:D17" si="0">C5*$A$2</f>
        <v>249968399.99999997</v>
      </c>
      <c r="E5" s="96"/>
      <c r="F5" s="96"/>
      <c r="G5" s="98"/>
      <c r="H5" s="94"/>
      <c r="I5" s="92"/>
      <c r="J5" s="106"/>
      <c r="K5" s="106"/>
      <c r="L5" s="115"/>
      <c r="M5" s="115"/>
      <c r="N5" s="89"/>
    </row>
    <row r="6" spans="1:15" ht="20.100000000000001" customHeight="1">
      <c r="A6" s="21"/>
      <c r="B6" s="86" t="s">
        <v>36</v>
      </c>
      <c r="C6" s="40">
        <v>42000</v>
      </c>
      <c r="D6" s="23">
        <f t="shared" si="0"/>
        <v>60337199.999999993</v>
      </c>
      <c r="E6" s="96"/>
      <c r="F6" s="97"/>
      <c r="G6" s="99"/>
      <c r="H6" s="95"/>
      <c r="I6" s="93"/>
      <c r="J6" s="107"/>
      <c r="K6" s="107"/>
      <c r="L6" s="116"/>
      <c r="M6" s="116"/>
      <c r="N6" s="90"/>
    </row>
    <row r="7" spans="1:15" ht="20.100000000000001" customHeight="1">
      <c r="A7" s="21"/>
      <c r="B7" s="34" t="s">
        <v>82</v>
      </c>
      <c r="C7" s="40"/>
      <c r="D7" s="23"/>
      <c r="E7" s="82">
        <v>16000000</v>
      </c>
      <c r="F7" s="84">
        <v>20000000</v>
      </c>
      <c r="G7" s="49">
        <f>E7/F7</f>
        <v>0.8</v>
      </c>
      <c r="H7" s="83">
        <f>D7-F7</f>
        <v>-20000000</v>
      </c>
      <c r="I7" s="44" t="s">
        <v>84</v>
      </c>
      <c r="J7" s="44"/>
      <c r="K7" s="33"/>
      <c r="L7" s="81"/>
      <c r="M7" s="81"/>
      <c r="N7" s="81"/>
    </row>
    <row r="8" spans="1:15" ht="20.100000000000001" customHeight="1">
      <c r="A8" s="21"/>
      <c r="B8" s="34" t="s">
        <v>83</v>
      </c>
      <c r="C8" s="40"/>
      <c r="D8" s="23"/>
      <c r="E8" s="82">
        <v>50000000</v>
      </c>
      <c r="F8" s="84">
        <v>60000000</v>
      </c>
      <c r="G8" s="49">
        <f>E8/F8</f>
        <v>0.83333333333333337</v>
      </c>
      <c r="H8" s="83">
        <f>D8-F8</f>
        <v>-60000000</v>
      </c>
      <c r="I8" s="44" t="s">
        <v>84</v>
      </c>
      <c r="J8" s="44"/>
      <c r="K8" s="33"/>
      <c r="L8" s="81"/>
      <c r="M8" s="81"/>
      <c r="N8" s="81"/>
    </row>
    <row r="9" spans="1:15" ht="20.100000000000001" customHeight="1">
      <c r="A9" s="21"/>
      <c r="B9" s="34" t="s">
        <v>8</v>
      </c>
      <c r="C9" s="40">
        <v>60000</v>
      </c>
      <c r="D9" s="23">
        <f t="shared" si="0"/>
        <v>86196000</v>
      </c>
      <c r="E9" s="101">
        <f>920000.15*A2</f>
        <v>1321672215.49</v>
      </c>
      <c r="F9" s="104">
        <f>1500000000-60000000-80000000</f>
        <v>1360000000</v>
      </c>
      <c r="G9" s="105">
        <f>E9/F9</f>
        <v>0.97181780550735297</v>
      </c>
      <c r="H9" s="100">
        <f>D9+D10+D11-F9</f>
        <v>58122220.944000006</v>
      </c>
      <c r="I9" s="111" t="s">
        <v>32</v>
      </c>
      <c r="J9" s="111"/>
      <c r="K9" s="112"/>
      <c r="L9" s="110"/>
      <c r="M9" s="110"/>
      <c r="N9" s="110"/>
    </row>
    <row r="10" spans="1:15" ht="20.100000000000001" customHeight="1">
      <c r="A10" s="21"/>
      <c r="B10" s="34" t="s">
        <v>37</v>
      </c>
      <c r="C10" s="40">
        <v>914537.84000000008</v>
      </c>
      <c r="D10" s="23">
        <f t="shared" si="0"/>
        <v>1313825060.944</v>
      </c>
      <c r="E10" s="102"/>
      <c r="F10" s="96"/>
      <c r="G10" s="98"/>
      <c r="H10" s="94"/>
      <c r="I10" s="92"/>
      <c r="J10" s="92"/>
      <c r="K10" s="117"/>
      <c r="L10" s="89"/>
      <c r="M10" s="89"/>
      <c r="N10" s="89"/>
    </row>
    <row r="11" spans="1:15" ht="20.100000000000001" customHeight="1">
      <c r="A11" s="21"/>
      <c r="B11" s="34" t="s">
        <v>10</v>
      </c>
      <c r="C11" s="40">
        <v>12600</v>
      </c>
      <c r="D11" s="23">
        <f>C11*$A$2</f>
        <v>18101160</v>
      </c>
      <c r="E11" s="103"/>
      <c r="F11" s="97"/>
      <c r="G11" s="99"/>
      <c r="H11" s="95"/>
      <c r="I11" s="93"/>
      <c r="J11" s="93"/>
      <c r="K11" s="113"/>
      <c r="L11" s="90"/>
      <c r="M11" s="90"/>
      <c r="N11" s="90"/>
    </row>
    <row r="12" spans="1:15" ht="20.100000000000001" customHeight="1">
      <c r="A12" s="21"/>
      <c r="B12" s="34" t="s">
        <v>29</v>
      </c>
      <c r="C12" s="40">
        <v>13668</v>
      </c>
      <c r="D12" s="23">
        <f t="shared" si="0"/>
        <v>19635448.799999997</v>
      </c>
      <c r="E12" s="51">
        <v>5600000</v>
      </c>
      <c r="F12" s="51">
        <v>6000000</v>
      </c>
      <c r="G12" s="49">
        <f>E12/F12</f>
        <v>0.93333333333333335</v>
      </c>
      <c r="H12" s="23">
        <f>D12-F12</f>
        <v>13635448.799999997</v>
      </c>
      <c r="I12" s="44" t="s">
        <v>69</v>
      </c>
      <c r="J12" s="46"/>
      <c r="K12" s="24"/>
      <c r="L12" s="25"/>
      <c r="M12" s="25"/>
      <c r="N12" s="25"/>
    </row>
    <row r="13" spans="1:15" ht="20.100000000000001" customHeight="1">
      <c r="A13" s="21"/>
      <c r="B13" s="34" t="s">
        <v>9</v>
      </c>
      <c r="C13" s="40">
        <v>43440</v>
      </c>
      <c r="D13" s="23">
        <f t="shared" si="0"/>
        <v>62405903.999999993</v>
      </c>
      <c r="E13" s="52">
        <v>60000000</v>
      </c>
      <c r="F13" s="51">
        <f>55000000+20000000</f>
        <v>75000000</v>
      </c>
      <c r="G13" s="49">
        <f>E13/F13</f>
        <v>0.8</v>
      </c>
      <c r="H13" s="23">
        <f>D13-F13</f>
        <v>-12594096.000000007</v>
      </c>
      <c r="I13" s="45" t="s">
        <v>31</v>
      </c>
      <c r="J13" s="44"/>
      <c r="K13" s="24"/>
      <c r="L13" s="25"/>
      <c r="M13" s="25"/>
      <c r="N13" s="25"/>
      <c r="O13" s="9"/>
    </row>
    <row r="14" spans="1:15">
      <c r="A14" s="21"/>
      <c r="B14" s="34" t="s">
        <v>38</v>
      </c>
      <c r="C14" s="40">
        <v>50000</v>
      </c>
      <c r="D14" s="23">
        <f t="shared" si="0"/>
        <v>71830000</v>
      </c>
      <c r="E14" s="23">
        <f>D14</f>
        <v>71830000</v>
      </c>
      <c r="F14" s="23">
        <f>D14</f>
        <v>71830000</v>
      </c>
      <c r="G14" s="49">
        <f>E14/F14</f>
        <v>1</v>
      </c>
      <c r="H14" s="23">
        <f>D14-F14</f>
        <v>0</v>
      </c>
      <c r="I14" s="45" t="s">
        <v>68</v>
      </c>
      <c r="J14" s="45"/>
      <c r="K14" s="27"/>
      <c r="L14" s="28"/>
      <c r="M14" s="28"/>
      <c r="N14" s="25"/>
      <c r="O14" s="6"/>
    </row>
    <row r="15" spans="1:15">
      <c r="A15" s="21"/>
      <c r="B15" s="34" t="s">
        <v>11</v>
      </c>
      <c r="C15" s="40">
        <v>34905.600000000006</v>
      </c>
      <c r="D15" s="23">
        <f t="shared" si="0"/>
        <v>50145384.960000008</v>
      </c>
      <c r="E15" s="51">
        <f>21000000*2</f>
        <v>42000000</v>
      </c>
      <c r="F15" s="51">
        <v>44000000</v>
      </c>
      <c r="G15" s="49">
        <f>E15/F15</f>
        <v>0.95454545454545459</v>
      </c>
      <c r="H15" s="23">
        <f>D15-F15</f>
        <v>6145384.9600000083</v>
      </c>
      <c r="I15" s="44" t="s">
        <v>70</v>
      </c>
      <c r="J15" s="44"/>
      <c r="K15" s="24"/>
      <c r="L15" s="25"/>
      <c r="M15" s="25"/>
      <c r="N15" s="25"/>
    </row>
    <row r="16" spans="1:15" ht="20.100000000000001" customHeight="1">
      <c r="A16" s="21"/>
      <c r="B16" s="86" t="s">
        <v>13</v>
      </c>
      <c r="C16" s="40">
        <v>197100</v>
      </c>
      <c r="D16" s="23">
        <f t="shared" si="0"/>
        <v>283153860</v>
      </c>
      <c r="E16" s="104">
        <f>590000000</f>
        <v>590000000</v>
      </c>
      <c r="F16" s="104">
        <f>530000000+80000000+30000000</f>
        <v>640000000</v>
      </c>
      <c r="G16" s="105">
        <f>E16/F16</f>
        <v>0.921875</v>
      </c>
      <c r="H16" s="100">
        <f>D16+D17-F16</f>
        <v>-134305307.20000005</v>
      </c>
      <c r="I16" s="111" t="s">
        <v>55</v>
      </c>
      <c r="J16" s="111"/>
      <c r="K16" s="112"/>
      <c r="L16" s="110"/>
      <c r="M16" s="110"/>
      <c r="N16" s="110"/>
    </row>
    <row r="17" spans="1:15" ht="20.100000000000001" customHeight="1">
      <c r="A17" s="21"/>
      <c r="B17" s="87" t="s">
        <v>14</v>
      </c>
      <c r="C17" s="53">
        <v>154908</v>
      </c>
      <c r="D17" s="23">
        <f t="shared" si="0"/>
        <v>222540832.79999998</v>
      </c>
      <c r="E17" s="97"/>
      <c r="F17" s="97"/>
      <c r="G17" s="99"/>
      <c r="H17" s="95"/>
      <c r="I17" s="93"/>
      <c r="J17" s="93"/>
      <c r="K17" s="113"/>
      <c r="L17" s="90"/>
      <c r="M17" s="90"/>
      <c r="N17" s="90"/>
    </row>
    <row r="18" spans="1:15" ht="20.100000000000001" customHeight="1">
      <c r="A18" s="21"/>
      <c r="B18" s="34" t="s">
        <v>19</v>
      </c>
      <c r="C18" s="40">
        <v>30525</v>
      </c>
      <c r="D18" s="23">
        <f t="shared" ref="D18:D23" si="1">C18*$A$2</f>
        <v>43852215</v>
      </c>
      <c r="E18" s="48">
        <f>D18</f>
        <v>43852215</v>
      </c>
      <c r="F18" s="26">
        <f>D18+H26+H28+H32+H33+H34+H36-80000000-10000000</f>
        <v>21398864.939999968</v>
      </c>
      <c r="G18" s="41" t="s">
        <v>27</v>
      </c>
      <c r="H18" s="26">
        <f t="shared" ref="H18:H23" si="2">D18-F18</f>
        <v>22453350.060000032</v>
      </c>
      <c r="I18" s="76" t="s">
        <v>27</v>
      </c>
      <c r="J18" s="45"/>
      <c r="K18" s="27"/>
      <c r="L18" s="28"/>
      <c r="M18" s="28"/>
      <c r="N18" s="25"/>
      <c r="O18" s="6"/>
    </row>
    <row r="19" spans="1:15" ht="20.100000000000001" customHeight="1">
      <c r="A19" s="21"/>
      <c r="B19" s="34" t="s">
        <v>20</v>
      </c>
      <c r="C19" s="40">
        <v>11178</v>
      </c>
      <c r="D19" s="23">
        <f t="shared" si="1"/>
        <v>16058314.799999999</v>
      </c>
      <c r="E19" s="48">
        <f>D19</f>
        <v>16058314.799999999</v>
      </c>
      <c r="F19" s="26">
        <f t="shared" ref="F19:F21" si="3">D19</f>
        <v>16058314.799999999</v>
      </c>
      <c r="G19" s="41" t="s">
        <v>27</v>
      </c>
      <c r="H19" s="26">
        <f t="shared" si="2"/>
        <v>0</v>
      </c>
      <c r="I19" s="76" t="s">
        <v>27</v>
      </c>
      <c r="J19" s="45"/>
      <c r="K19" s="27"/>
      <c r="L19" s="32"/>
      <c r="M19" s="32"/>
      <c r="N19" s="25"/>
      <c r="O19" s="11"/>
    </row>
    <row r="20" spans="1:15" ht="20.100000000000001" customHeight="1">
      <c r="A20" s="21"/>
      <c r="B20" s="34" t="s">
        <v>21</v>
      </c>
      <c r="C20" s="40">
        <v>18678</v>
      </c>
      <c r="D20" s="23">
        <f t="shared" si="1"/>
        <v>26832814.799999997</v>
      </c>
      <c r="E20" s="48">
        <f>D20</f>
        <v>26832814.799999997</v>
      </c>
      <c r="F20" s="26">
        <f>D20-5000000</f>
        <v>21832814.799999997</v>
      </c>
      <c r="G20" s="41" t="s">
        <v>27</v>
      </c>
      <c r="H20" s="26">
        <f t="shared" si="2"/>
        <v>5000000</v>
      </c>
      <c r="I20" s="76" t="s">
        <v>27</v>
      </c>
      <c r="J20" s="44"/>
      <c r="K20" s="24"/>
      <c r="L20" s="25"/>
      <c r="M20" s="25"/>
      <c r="N20" s="25"/>
    </row>
    <row r="21" spans="1:15" ht="20.100000000000001" customHeight="1">
      <c r="A21" s="21"/>
      <c r="B21" s="34" t="s">
        <v>22</v>
      </c>
      <c r="C21" s="40">
        <v>6817.25</v>
      </c>
      <c r="D21" s="23">
        <f t="shared" si="1"/>
        <v>9793661.3499999996</v>
      </c>
      <c r="E21" s="48">
        <f>D21</f>
        <v>9793661.3499999996</v>
      </c>
      <c r="F21" s="26">
        <f t="shared" si="3"/>
        <v>9793661.3499999996</v>
      </c>
      <c r="G21" s="41" t="s">
        <v>27</v>
      </c>
      <c r="H21" s="26">
        <f t="shared" si="2"/>
        <v>0</v>
      </c>
      <c r="I21" s="76" t="s">
        <v>27</v>
      </c>
      <c r="J21" s="46"/>
      <c r="K21" s="24"/>
      <c r="L21" s="24"/>
      <c r="M21" s="24"/>
      <c r="N21" s="30"/>
    </row>
    <row r="22" spans="1:15" ht="20.100000000000001" customHeight="1">
      <c r="A22" s="21"/>
      <c r="B22" s="34" t="s">
        <v>62</v>
      </c>
      <c r="C22" s="40">
        <v>30000</v>
      </c>
      <c r="D22" s="23">
        <f t="shared" si="1"/>
        <v>43098000</v>
      </c>
      <c r="E22" s="47">
        <v>50000000</v>
      </c>
      <c r="F22" s="47">
        <f>50000000-30000000</f>
        <v>20000000</v>
      </c>
      <c r="G22" s="41" t="s">
        <v>27</v>
      </c>
      <c r="H22" s="26">
        <f t="shared" si="2"/>
        <v>23098000</v>
      </c>
      <c r="I22" s="76" t="s">
        <v>27</v>
      </c>
      <c r="J22" s="44"/>
      <c r="K22" s="33"/>
      <c r="L22" s="33"/>
      <c r="M22" s="33"/>
      <c r="N22" s="25"/>
    </row>
    <row r="23" spans="1:15" ht="20.100000000000001" customHeight="1">
      <c r="A23" s="21"/>
      <c r="B23" s="34" t="s">
        <v>6</v>
      </c>
      <c r="C23" s="40">
        <v>21450.41</v>
      </c>
      <c r="D23" s="23">
        <f t="shared" si="1"/>
        <v>30815659.005999997</v>
      </c>
      <c r="E23" s="48">
        <f>D23</f>
        <v>30815659.005999997</v>
      </c>
      <c r="F23" s="26">
        <f>D23-5000000</f>
        <v>25815659.005999997</v>
      </c>
      <c r="G23" s="41" t="s">
        <v>27</v>
      </c>
      <c r="H23" s="26">
        <f t="shared" si="2"/>
        <v>5000000</v>
      </c>
      <c r="I23" s="76" t="s">
        <v>27</v>
      </c>
      <c r="J23" s="45"/>
      <c r="K23" s="27"/>
      <c r="L23" s="28"/>
      <c r="M23" s="28"/>
      <c r="N23" s="25"/>
    </row>
    <row r="24" spans="1:15" ht="20.100000000000001" customHeight="1">
      <c r="A24" s="21"/>
      <c r="B24" s="64" t="s">
        <v>66</v>
      </c>
      <c r="C24" s="69">
        <f>SUM(C4:C23)</f>
        <v>2067808.1</v>
      </c>
      <c r="D24" s="70">
        <f>SUM(D4:D23)</f>
        <v>2970613116.4600005</v>
      </c>
      <c r="E24" s="71">
        <f>SUM(E4:E23)</f>
        <v>2934454880.4460001</v>
      </c>
      <c r="F24" s="72">
        <f>SUM(F4:F23)</f>
        <v>3031729314.8960004</v>
      </c>
      <c r="G24" s="73" t="s">
        <v>27</v>
      </c>
      <c r="H24" s="72">
        <f>SUM(H4:H23)</f>
        <v>-61116198.436000019</v>
      </c>
      <c r="I24" s="65"/>
      <c r="J24" s="65"/>
      <c r="K24" s="66"/>
      <c r="L24" s="67"/>
      <c r="M24" s="67"/>
      <c r="N24" s="68"/>
    </row>
    <row r="25" spans="1:15" ht="20.100000000000001" customHeight="1">
      <c r="A25" s="7"/>
      <c r="B25" s="56" t="s">
        <v>65</v>
      </c>
      <c r="C25" s="57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</row>
    <row r="26" spans="1:15" ht="20.100000000000001" customHeight="1">
      <c r="A26" s="21"/>
      <c r="B26" s="86" t="s">
        <v>39</v>
      </c>
      <c r="C26" s="40">
        <v>89895.9</v>
      </c>
      <c r="D26" s="23">
        <f t="shared" ref="D26:D33" si="4">C26*$A$2</f>
        <v>129144449.93999998</v>
      </c>
      <c r="E26" s="80">
        <v>85000000</v>
      </c>
      <c r="F26" s="54">
        <v>110000000</v>
      </c>
      <c r="G26" s="49">
        <f>E26/F26</f>
        <v>0.77272727272727271</v>
      </c>
      <c r="H26" s="23">
        <f>D26-F26</f>
        <v>19144449.939999983</v>
      </c>
      <c r="I26" s="44" t="s">
        <v>74</v>
      </c>
      <c r="J26" s="46"/>
      <c r="K26" s="27"/>
      <c r="L26" s="29"/>
      <c r="M26" s="29"/>
      <c r="N26" s="30"/>
    </row>
    <row r="27" spans="1:15" ht="20.100000000000001" customHeight="1">
      <c r="A27" s="21"/>
      <c r="B27" s="34" t="s">
        <v>12</v>
      </c>
      <c r="C27" s="40">
        <v>72000</v>
      </c>
      <c r="D27" s="23">
        <f t="shared" si="4"/>
        <v>103435200</v>
      </c>
      <c r="E27" s="80">
        <v>78000000</v>
      </c>
      <c r="F27" s="54">
        <f>D27</f>
        <v>103435200</v>
      </c>
      <c r="G27" s="49">
        <f>E27/F27</f>
        <v>0.75409531764815074</v>
      </c>
      <c r="H27" s="23">
        <f>D27-F27</f>
        <v>0</v>
      </c>
      <c r="I27" s="44" t="s">
        <v>74</v>
      </c>
      <c r="J27" s="45"/>
      <c r="K27" s="27"/>
      <c r="L27" s="27"/>
      <c r="M27" s="27"/>
      <c r="N27" s="25"/>
    </row>
    <row r="28" spans="1:15" ht="20.100000000000001" customHeight="1">
      <c r="A28" s="91"/>
      <c r="B28" s="88" t="s">
        <v>15</v>
      </c>
      <c r="C28" s="40">
        <v>42000</v>
      </c>
      <c r="D28" s="23">
        <f t="shared" si="4"/>
        <v>60337199.999999993</v>
      </c>
      <c r="E28" s="80">
        <v>33000000</v>
      </c>
      <c r="F28" s="54">
        <v>60000000</v>
      </c>
      <c r="G28" s="49">
        <f>E28/F28</f>
        <v>0.55000000000000004</v>
      </c>
      <c r="H28" s="26">
        <f>D28-F28</f>
        <v>337199.99999999255</v>
      </c>
      <c r="I28" s="44" t="s">
        <v>75</v>
      </c>
      <c r="J28" s="45"/>
      <c r="K28" s="54"/>
      <c r="L28" s="54"/>
      <c r="M28" s="54"/>
      <c r="N28" s="30"/>
      <c r="O28" s="6"/>
    </row>
    <row r="29" spans="1:15" ht="20.25" customHeight="1">
      <c r="A29" s="91"/>
      <c r="B29" s="34" t="s">
        <v>16</v>
      </c>
      <c r="C29" s="40">
        <v>1140000</v>
      </c>
      <c r="D29" s="23">
        <f t="shared" si="4"/>
        <v>1637724000</v>
      </c>
      <c r="E29" s="52">
        <v>1149280000</v>
      </c>
      <c r="F29" s="54">
        <f>D29</f>
        <v>1637724000</v>
      </c>
      <c r="G29" s="49">
        <f>E29/F29</f>
        <v>0.70175438596491224</v>
      </c>
      <c r="H29" s="23">
        <f>D29-F29</f>
        <v>0</v>
      </c>
      <c r="I29" s="44" t="s">
        <v>54</v>
      </c>
      <c r="J29" s="44"/>
      <c r="K29" s="55"/>
      <c r="L29" s="55"/>
      <c r="M29" s="55"/>
      <c r="N29" s="25"/>
    </row>
    <row r="30" spans="1:15" ht="20.100000000000001" customHeight="1">
      <c r="A30" s="21"/>
      <c r="B30" s="88" t="s">
        <v>5</v>
      </c>
      <c r="C30" s="40">
        <v>72000</v>
      </c>
      <c r="D30" s="23">
        <f t="shared" si="4"/>
        <v>103435200</v>
      </c>
      <c r="E30" s="101">
        <v>230000000</v>
      </c>
      <c r="F30" s="108">
        <f>D30+D31</f>
        <v>256140033.59999999</v>
      </c>
      <c r="G30" s="105">
        <f>E30/F30</f>
        <v>0.89794631775202516</v>
      </c>
      <c r="H30" s="100">
        <f>(D30+D31)-F30</f>
        <v>0</v>
      </c>
      <c r="I30" s="44" t="s">
        <v>76</v>
      </c>
      <c r="J30" s="44"/>
      <c r="K30" s="24"/>
      <c r="L30" s="24"/>
      <c r="M30" s="24"/>
      <c r="N30" s="25"/>
    </row>
    <row r="31" spans="1:15" ht="20.100000000000001" customHeight="1">
      <c r="A31" s="22"/>
      <c r="B31" s="88" t="s">
        <v>17</v>
      </c>
      <c r="C31" s="40">
        <v>106296</v>
      </c>
      <c r="D31" s="23">
        <f t="shared" si="4"/>
        <v>152704833.59999999</v>
      </c>
      <c r="E31" s="103"/>
      <c r="F31" s="109"/>
      <c r="G31" s="99"/>
      <c r="H31" s="95"/>
      <c r="I31" s="44" t="s">
        <v>77</v>
      </c>
      <c r="J31" s="44"/>
      <c r="K31" s="24"/>
      <c r="L31" s="25"/>
      <c r="M31" s="25"/>
      <c r="N31" s="25"/>
    </row>
    <row r="32" spans="1:15" ht="20.100000000000001" customHeight="1">
      <c r="A32" s="21"/>
      <c r="B32" s="88" t="s">
        <v>28</v>
      </c>
      <c r="C32" s="40">
        <v>25000</v>
      </c>
      <c r="D32" s="23">
        <f t="shared" si="4"/>
        <v>35915000</v>
      </c>
      <c r="E32" s="52">
        <v>27000000</v>
      </c>
      <c r="F32" s="55">
        <v>32000000</v>
      </c>
      <c r="G32" s="49">
        <f>E32/F32</f>
        <v>0.84375</v>
      </c>
      <c r="H32" s="26">
        <f>D32-F32</f>
        <v>3915000</v>
      </c>
      <c r="I32" s="44" t="s">
        <v>81</v>
      </c>
      <c r="J32" s="46"/>
      <c r="K32" s="24"/>
      <c r="L32" s="31"/>
      <c r="M32" s="31"/>
      <c r="N32" s="25"/>
    </row>
    <row r="33" spans="1:14" ht="20.100000000000001" customHeight="1">
      <c r="A33" s="21"/>
      <c r="B33" s="88" t="s">
        <v>18</v>
      </c>
      <c r="C33" s="40">
        <v>200000</v>
      </c>
      <c r="D33" s="23">
        <f t="shared" si="4"/>
        <v>287320000</v>
      </c>
      <c r="E33" s="52">
        <v>230000000</v>
      </c>
      <c r="F33" s="55">
        <v>270000000</v>
      </c>
      <c r="G33" s="49">
        <f>E33/F33</f>
        <v>0.85185185185185186</v>
      </c>
      <c r="H33" s="26">
        <f>D33-F33</f>
        <v>17320000</v>
      </c>
      <c r="I33" s="44" t="s">
        <v>78</v>
      </c>
      <c r="J33" s="45"/>
      <c r="K33" s="27"/>
      <c r="L33" s="27"/>
      <c r="M33" s="27"/>
      <c r="N33" s="25"/>
    </row>
    <row r="34" spans="1:14" ht="20.100000000000001" customHeight="1">
      <c r="A34" s="21"/>
      <c r="B34" s="34" t="s">
        <v>72</v>
      </c>
      <c r="C34" s="40">
        <v>20000</v>
      </c>
      <c r="D34" s="23">
        <f>C34*$A$2</f>
        <v>28732000</v>
      </c>
      <c r="E34" s="52">
        <v>23000000</v>
      </c>
      <c r="F34" s="55">
        <v>25000000</v>
      </c>
      <c r="G34" s="49">
        <f>E34/F34</f>
        <v>0.92</v>
      </c>
      <c r="H34" s="26">
        <f>D34-F34</f>
        <v>3732000</v>
      </c>
      <c r="I34" s="44" t="s">
        <v>80</v>
      </c>
      <c r="J34" s="45"/>
      <c r="K34" s="27"/>
      <c r="L34" s="27"/>
      <c r="M34" s="27"/>
      <c r="N34" s="25"/>
    </row>
    <row r="35" spans="1:14" ht="20.100000000000001" customHeight="1">
      <c r="A35" s="21"/>
      <c r="B35" s="34" t="s">
        <v>73</v>
      </c>
      <c r="C35" s="40">
        <v>55000</v>
      </c>
      <c r="D35" s="23">
        <f>C35*$A$2</f>
        <v>79013000</v>
      </c>
      <c r="E35" s="52">
        <v>75000000</v>
      </c>
      <c r="F35" s="55">
        <f>D35</f>
        <v>79013000</v>
      </c>
      <c r="G35" s="49">
        <f>E35/F35</f>
        <v>0.94921088934732256</v>
      </c>
      <c r="H35" s="26">
        <f>D35-F35</f>
        <v>0</v>
      </c>
      <c r="I35" s="44" t="s">
        <v>79</v>
      </c>
      <c r="J35" s="45"/>
      <c r="K35" s="27"/>
      <c r="L35" s="27"/>
      <c r="M35" s="27"/>
      <c r="N35" s="25"/>
    </row>
    <row r="36" spans="1:14" ht="20.100000000000001" customHeight="1">
      <c r="A36" s="21"/>
      <c r="B36" s="34" t="s">
        <v>63</v>
      </c>
      <c r="C36" s="40">
        <v>30000</v>
      </c>
      <c r="D36" s="23">
        <f>C36*$A$2</f>
        <v>43098000</v>
      </c>
      <c r="E36" s="47"/>
      <c r="F36" s="74">
        <v>20000000</v>
      </c>
      <c r="G36" s="75"/>
      <c r="H36" s="23">
        <f>D36-F36</f>
        <v>23098000</v>
      </c>
      <c r="I36" s="76" t="s">
        <v>27</v>
      </c>
      <c r="J36" s="45"/>
      <c r="K36" s="27"/>
      <c r="L36" s="27"/>
      <c r="M36" s="27"/>
      <c r="N36" s="25"/>
    </row>
    <row r="37" spans="1:14" ht="20.100000000000001" customHeight="1">
      <c r="A37" s="21"/>
      <c r="B37" s="64" t="s">
        <v>66</v>
      </c>
      <c r="C37" s="69">
        <f>SUM(C26:C36)</f>
        <v>1852191.9</v>
      </c>
      <c r="D37" s="70">
        <f>SUM(D26:D36)</f>
        <v>2660858883.54</v>
      </c>
      <c r="E37" s="71">
        <f>SUM(E26:E36)</f>
        <v>1930280000</v>
      </c>
      <c r="F37" s="72">
        <f>SUM(F26:F36)</f>
        <v>2593312233.5999999</v>
      </c>
      <c r="G37" s="73" t="s">
        <v>27</v>
      </c>
      <c r="H37" s="72">
        <f>SUM(H26:H36)</f>
        <v>67546649.939999968</v>
      </c>
      <c r="I37" s="65"/>
      <c r="J37" s="65"/>
      <c r="K37" s="66"/>
      <c r="L37" s="66"/>
      <c r="M37" s="66"/>
      <c r="N37" s="68"/>
    </row>
    <row r="38" spans="1:14" ht="20.100000000000001" customHeight="1">
      <c r="A38" s="21"/>
      <c r="B38" s="59" t="s">
        <v>67</v>
      </c>
      <c r="C38" s="60"/>
      <c r="D38" s="61">
        <f>D24+D37</f>
        <v>5631472000</v>
      </c>
      <c r="E38" s="61">
        <f>E24+E37</f>
        <v>4864734880.4460001</v>
      </c>
      <c r="F38" s="61">
        <f>F24+F37</f>
        <v>5625041548.4960003</v>
      </c>
      <c r="G38" s="61"/>
      <c r="H38" s="61">
        <f>H24+H37</f>
        <v>6430451.5039999485</v>
      </c>
      <c r="I38" s="62"/>
      <c r="J38" s="62"/>
      <c r="K38" s="62"/>
      <c r="L38" s="62"/>
      <c r="M38" s="62"/>
      <c r="N38" s="63"/>
    </row>
    <row r="39" spans="1:14" ht="17.25" thickBot="1"/>
    <row r="40" spans="1:14">
      <c r="B40" s="13" t="s">
        <v>26</v>
      </c>
      <c r="C40" s="36"/>
      <c r="D40" s="14">
        <f>E40*A2</f>
        <v>7039340000</v>
      </c>
      <c r="E40" s="77">
        <v>4900000</v>
      </c>
      <c r="G40" t="s">
        <v>44</v>
      </c>
    </row>
    <row r="41" spans="1:14">
      <c r="B41" s="15" t="s">
        <v>25</v>
      </c>
      <c r="C41" s="37"/>
      <c r="D41" s="16">
        <f>D40</f>
        <v>7039340000</v>
      </c>
      <c r="E41" s="77"/>
      <c r="F41" s="10"/>
      <c r="G41" s="10" t="s">
        <v>43</v>
      </c>
      <c r="H41" t="s">
        <v>51</v>
      </c>
    </row>
    <row r="42" spans="1:14">
      <c r="B42" s="15" t="s">
        <v>24</v>
      </c>
      <c r="C42" s="37"/>
      <c r="D42" s="17">
        <f>D38</f>
        <v>5631472000</v>
      </c>
      <c r="E42" s="78">
        <f>D42/A2</f>
        <v>3920000.0000000005</v>
      </c>
      <c r="G42" s="42" t="s">
        <v>43</v>
      </c>
      <c r="H42" t="s">
        <v>50</v>
      </c>
    </row>
    <row r="43" spans="1:14">
      <c r="B43" s="18" t="s">
        <v>30</v>
      </c>
      <c r="C43" s="38"/>
      <c r="D43" s="19">
        <f>1-D42/D41</f>
        <v>0.19999999999999996</v>
      </c>
      <c r="E43" s="79"/>
      <c r="G43" s="43" t="s">
        <v>43</v>
      </c>
      <c r="H43" t="s">
        <v>47</v>
      </c>
    </row>
    <row r="44" spans="1:14">
      <c r="B44" s="18" t="s">
        <v>52</v>
      </c>
      <c r="C44" s="38"/>
      <c r="D44" s="19">
        <f>1-F38/D41</f>
        <v>0.20091350204763514</v>
      </c>
      <c r="E44" s="79"/>
      <c r="G44" s="43"/>
    </row>
    <row r="45" spans="1:14" ht="17.25" thickBot="1">
      <c r="B45" s="20" t="s">
        <v>53</v>
      </c>
      <c r="C45" s="39"/>
      <c r="D45" s="12">
        <f>1-E38/D41</f>
        <v>0.30892173407649015</v>
      </c>
      <c r="E45" s="79"/>
    </row>
    <row r="49" spans="4:7">
      <c r="D49" s="8"/>
      <c r="E49" s="8"/>
      <c r="F49" s="8"/>
      <c r="G49" s="8"/>
    </row>
    <row r="50" spans="4:7">
      <c r="D50" s="8"/>
      <c r="E50" s="8"/>
      <c r="F50" s="8"/>
      <c r="G50" s="8"/>
    </row>
  </sheetData>
  <mergeCells count="35">
    <mergeCell ref="M4:M6"/>
    <mergeCell ref="J9:J11"/>
    <mergeCell ref="M9:M11"/>
    <mergeCell ref="I9:I11"/>
    <mergeCell ref="K9:K11"/>
    <mergeCell ref="L9:L11"/>
    <mergeCell ref="K4:K6"/>
    <mergeCell ref="L4:L6"/>
    <mergeCell ref="E30:E31"/>
    <mergeCell ref="F30:F31"/>
    <mergeCell ref="G30:G31"/>
    <mergeCell ref="H30:H31"/>
    <mergeCell ref="N9:N11"/>
    <mergeCell ref="I16:I17"/>
    <mergeCell ref="K16:K17"/>
    <mergeCell ref="L16:L17"/>
    <mergeCell ref="N16:N17"/>
    <mergeCell ref="J16:J17"/>
    <mergeCell ref="M16:M17"/>
    <mergeCell ref="N4:N6"/>
    <mergeCell ref="A28:A29"/>
    <mergeCell ref="I4:I6"/>
    <mergeCell ref="H4:H6"/>
    <mergeCell ref="E4:E6"/>
    <mergeCell ref="F4:F6"/>
    <mergeCell ref="G4:G6"/>
    <mergeCell ref="H9:H11"/>
    <mergeCell ref="E9:E11"/>
    <mergeCell ref="F9:F11"/>
    <mergeCell ref="G9:G11"/>
    <mergeCell ref="E16:E17"/>
    <mergeCell ref="F16:F17"/>
    <mergeCell ref="G16:G17"/>
    <mergeCell ref="H16:H17"/>
    <mergeCell ref="J4:J6"/>
  </mergeCells>
  <phoneticPr fontId="6" type="noConversion"/>
  <pageMargins left="0.7" right="0.7" top="0.75" bottom="0.75" header="0.3" footer="0.3"/>
  <pageSetup paperSize="8" scale="61" orientation="landscape" r:id="rId1"/>
  <colBreaks count="1" manualBreakCount="1">
    <brk id="10" max="4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RABIGH2</vt:lpstr>
      <vt:lpstr>RABIGH2!Print_Area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Su-Jin Yoo</dc:creator>
  <cp:lastModifiedBy>JaeHyun Ryu</cp:lastModifiedBy>
  <cp:lastPrinted>2026-02-19T08:16:44Z</cp:lastPrinted>
  <dcterms:created xsi:type="dcterms:W3CDTF">2023-11-21T05:22:38Z</dcterms:created>
  <dcterms:modified xsi:type="dcterms:W3CDTF">2026-03-03T05:14:07Z</dcterms:modified>
</cp:coreProperties>
</file>